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ofom\OneDrive\Desktop\invoice_creator\"/>
    </mc:Choice>
  </mc:AlternateContent>
  <xr:revisionPtr revIDLastSave="0" documentId="13_ncr:1_{D306505C-3056-4FF6-954B-3FC10703F82C}" xr6:coauthVersionLast="47" xr6:coauthVersionMax="47" xr10:uidLastSave="{00000000-0000-0000-0000-000000000000}"/>
  <bookViews>
    <workbookView xWindow="19160" yWindow="940" windowWidth="17420" windowHeight="18170" activeTab="1" xr2:uid="{B2BF34BC-432B-4D70-80BD-6FD7843E7534}"/>
  </bookViews>
  <sheets>
    <sheet name="Service Invoice-Charges" sheetId="5" r:id="rId1"/>
    <sheet name="Transaction Record" sheetId="1" r:id="rId2"/>
  </sheets>
  <definedNames>
    <definedName name="_xlnm._FilterDatabase" localSheetId="1" hidden="1">'Transaction Record'!$A$1:$J$57</definedName>
    <definedName name="_xlnm.Print_Area" localSheetId="0">'Service Invoice-Charges'!$A$1:$I$32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5" l="1"/>
  <c r="F26" i="5"/>
  <c r="E26" i="5"/>
  <c r="G26" i="5" s="1"/>
  <c r="F25" i="5"/>
  <c r="E25" i="5"/>
  <c r="G25" i="5" s="1"/>
  <c r="F24" i="5"/>
  <c r="E24" i="5"/>
  <c r="G24" i="5" s="1"/>
  <c r="E18" i="5" l="1"/>
  <c r="G18" i="5" s="1"/>
  <c r="F18" i="5"/>
  <c r="F19" i="5"/>
  <c r="E19" i="5"/>
  <c r="G19" i="5" s="1"/>
  <c r="F20" i="5"/>
  <c r="E20" i="5"/>
  <c r="G20" i="5" s="1"/>
  <c r="F21" i="5"/>
  <c r="G21" i="5"/>
  <c r="E22" i="5" l="1"/>
  <c r="G22" i="5" s="1"/>
  <c r="F22" i="5"/>
  <c r="E23" i="5"/>
  <c r="G23" i="5" s="1"/>
  <c r="F23" i="5"/>
  <c r="G27" i="5" l="1"/>
  <c r="G28" i="5"/>
  <c r="G29" i="5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A535B2-A1F3-4753-8B70-6CBABEFFB77B}" keepAlive="1" name="查詢 - transaction-2024-10-01-2024-11-01 UkYwUCaRdUS30JrnlGNKzw" description="與活頁簿中 'transaction-2024-10-01-2024-11-01 UkYwUCaRdUS30JrnlGNKzw' 查詢的連接。" type="5" refreshedVersion="0" background="1">
    <dbPr connection="Provider=Microsoft.Mashup.OleDb.1;Data Source=$Workbook$;Location=&quot;transaction-2024-10-01-2024-11-01 UkYwUCaRdUS30JrnlGNKzw&quot;;Extended Properties=&quot;&quot;" command="SELECT * FROM [transaction-2024-10-01-2024-11-01 UkYwUCaRdUS30JrnlGNKzw]"/>
  </connection>
  <connection id="2" xr16:uid="{68F5EDF0-6283-40A9-905C-0169C7C23F72}" keepAlive="1" name="查詢 - transaction-2024-11-01-2024-11-30 IQvlVwny06x9OAvX9yFw" description="與活頁簿中 'transaction-2024-11-01-2024-11-30 IQvlVwny06x9OAvX9yFw' 查詢的連接。" type="5" refreshedVersion="0" background="1" saveData="1">
    <dbPr connection="Provider=Microsoft.Mashup.OleDb.1;Data Source=$Workbook$;Location=&quot;transaction-2024-11-01-2024-11-30 IQvlVwny06x9OAvX9yFw&quot;;Extended Properties=&quot;&quot;" command="SELECT * FROM [transaction-2024-11-01-2024-11-30 IQvlVwny06x9OAvX9yFw]"/>
  </connection>
  <connection id="3" xr16:uid="{605C8709-B3FB-4425-A6C6-7C69270A1185}" keepAlive="1" name="查詢 - transaction-2024-12-01-2025-01-03 jnzrB4OcUOTTb8YQaBhYg" description="與活頁簿中 'transaction-2024-12-01-2025-01-03 jnzrB4OcUOTTb8YQaBhYg' 查詢的連接。" type="5" refreshedVersion="8" background="1" saveData="1">
    <dbPr connection="Provider=Microsoft.Mashup.OleDb.1;Data Source=$Workbook$;Location=&quot;transaction-2024-12-01-2025-01-03 jnzrB4OcUOTTb8YQaBhYg&quot;;Extended Properties=&quot;&quot;" command="SELECT * FROM [transaction-2024-12-01-2025-01-03 jnzrB4OcUOTTb8YQaBhYg]"/>
  </connection>
  <connection id="4" xr16:uid="{98103607-69D1-449D-A9B1-CECFE8746E9D}" keepAlive="1" name="查詢 - transaction-2025-01-01-2025-02-03 qdhn7LN60EWnFuBFG9ht8A" description="與活頁簿中 'transaction-2025-01-01-2025-02-03 qdhn7LN60EWnFuBFG9ht8A' 查詢的連接。" type="5" refreshedVersion="0" background="1">
    <dbPr connection="Provider=Microsoft.Mashup.OleDb.1;Data Source=$Workbook$;Location=&quot;transaction-2025-01-01-2025-02-03 qdhn7LN60EWnFuBFG9ht8A&quot;;Extended Properties=&quot;&quot;" command="SELECT * FROM [transaction-2025-01-01-2025-02-03 qdhn7LN60EWnFuBFG9ht8A]"/>
  </connection>
  <connection id="5" xr16:uid="{7D0B3420-1B44-4F7A-918C-3ABE98C93590}" keepAlive="1" name="查詢 - transaction-2025-02-01-2025-03-03 y0gJGn4sgkqKvqGd4zkKWQ" description="與活頁簿中 'transaction-2025-02-01-2025-03-03 y0gJGn4sgkqKvqGd4zkKWQ' 查詢的連接。" type="5" refreshedVersion="0" background="1">
    <dbPr connection="Provider=Microsoft.Mashup.OleDb.1;Data Source=$Workbook$;Location=&quot;transaction-2025-02-01-2025-03-03 y0gJGn4sgkqKvqGd4zkKWQ&quot;;Extended Properties=&quot;&quot;" command="SELECT * FROM [transaction-2025-02-01-2025-03-03 y0gJGn4sgkqKvqGd4zkKWQ]"/>
  </connection>
  <connection id="6" xr16:uid="{5557550E-C18F-4F1F-BA86-71B68464B9E3}" keepAlive="1" name="查詢 - transaction-2025-03-01-2025-04-02 vnWtbnrGmUm67TbbkVvA" description="與活頁簿中 'transaction-2025-03-01-2025-04-02 vnWtbnrGmUm67TbbkVvA' 查詢的連接。" type="5" refreshedVersion="0" background="1">
    <dbPr connection="Provider=Microsoft.Mashup.OleDb.1;Data Source=$Workbook$;Location=&quot;transaction-2025-03-01-2025-04-02 vnWtbnrGmUm67TbbkVvA&quot;;Extended Properties=&quot;&quot;" command="SELECT * FROM [transaction-2025-03-01-2025-04-02 vnWtbnrGmUm67TbbkVvA]"/>
  </connection>
  <connection id="7" xr16:uid="{BEAFE915-6400-4C88-9235-113233D57653}" keepAlive="1" name="查詢 - transaction-2025-04-01-2025-05-02 MUWOrkYEDke3fZCQ7kAgxg" description="與活頁簿中 'transaction-2025-04-01-2025-05-02 MUWOrkYEDke3fZCQ7kAgxg' 查詢的連接。" type="5" refreshedVersion="0" background="1">
    <dbPr connection="Provider=Microsoft.Mashup.OleDb.1;Data Source=$Workbook$;Location=&quot;transaction-2025-04-01-2025-05-02 MUWOrkYEDke3fZCQ7kAgxg&quot;;Extended Properties=&quot;&quot;" command="SELECT * FROM [transaction-2025-04-01-2025-05-02 MUWOrkYEDke3fZCQ7kAgxg]"/>
  </connection>
  <connection id="8" xr16:uid="{EF2AB706-7301-47CE-9B79-38DC50DF07E0}" keepAlive="1" name="查詢 - transaction-2025-05-01-2025-06-03 XL3uSmhiV06Z9C0b7FlxA" description="與活頁簿中 'transaction-2025-05-01-2025-06-03 XL3uSmhiV06Z9C0b7FlxA' 查詢的連接。" type="5" refreshedVersion="0" background="1">
    <dbPr connection="Provider=Microsoft.Mashup.OleDb.1;Data Source=$Workbook$;Location=&quot;transaction-2025-05-01-2025-06-03 XL3uSmhiV06Z9C0b7FlxA&quot;;Extended Properties=&quot;&quot;" command="SELECT * FROM [transaction-2025-05-01-2025-06-03 XL3uSmhiV06Z9C0b7FlxA]"/>
  </connection>
  <connection id="9" xr16:uid="{3EBBB0C5-C92B-49DB-B4FD-69B268B5D955}" keepAlive="1" name="查詢 - transaction-2025-06-01-2025-07-02 ntGe4xEJlEWqjO7hfy0CDQ" description="與活頁簿中 'transaction-2025-06-01-2025-07-02 ntGe4xEJlEWqjO7hfy0CDQ' 查詢的連接。" type="5" refreshedVersion="0" background="1">
    <dbPr connection="Provider=Microsoft.Mashup.OleDb.1;Data Source=$Workbook$;Location=&quot;transaction-2025-06-01-2025-07-02 ntGe4xEJlEWqjO7hfy0CDQ&quot;;Extended Properties=&quot;&quot;" command="SELECT * FROM [transaction-2025-06-01-2025-07-02 ntGe4xEJlEWqjO7hfy0CDQ]"/>
  </connection>
  <connection id="10" xr16:uid="{D6C4E81E-F84B-4A8D-9F3F-E96BBB4F197C}" keepAlive="1" name="查詢 - transaction-2025-07-01-2025-08-04 4uRkLfLiHUqs3beeastsQ" description="與活頁簿中 'transaction-2025-07-01-2025-08-04 4uRkLfLiHUqs3beeastsQ' 查詢的連接。" type="5" refreshedVersion="0" background="1">
    <dbPr connection="Provider=Microsoft.Mashup.OleDb.1;Data Source=$Workbook$;Location=&quot;transaction-2025-07-01-2025-08-04 4uRkLfLiHUqs3beeastsQ&quot;;Extended Properties=&quot;&quot;" command="SELECT * FROM [transaction-2025-07-01-2025-08-04 4uRkLfLiHUqs3beeastsQ]"/>
  </connection>
  <connection id="11" xr16:uid="{F142CCDF-C62D-4C4D-923E-3F5BC5EAB1C3}" keepAlive="1" name="查詢 - transaction-2025-08-01-2025-09-03 UKZmYwDn2E6bQGEaYjEO9g" description="與活頁簿中 'transaction-2025-08-01-2025-09-03 UKZmYwDn2E6bQGEaYjEO9g' 查詢的連接。" type="5" refreshedVersion="0" background="1">
    <dbPr connection="Provider=Microsoft.Mashup.OleDb.1;Data Source=$Workbook$;Location=&quot;transaction-2025-08-01-2025-09-03 UKZmYwDn2E6bQGEaYjEO9g&quot;;Extended Properties=&quot;&quot;" command="SELECT * FROM [transaction-2025-08-01-2025-09-03 UKZmYwDn2E6bQGEaYjEO9g]"/>
  </connection>
  <connection id="12" xr16:uid="{99B0862A-A878-4796-B3F2-8A14FF446339}" keepAlive="1" name="查詢 - transaction-2025-08-01-2025-09-03 UKZmYwDn2E6bQGEaYjEO9g (2)" description="與活頁簿中 'transaction-2025-08-01-2025-09-03 UKZmYwDn2E6bQGEaYjEO9g (2)' 查詢的連接。" type="5" refreshedVersion="0" background="1">
    <dbPr connection="Provider=Microsoft.Mashup.OleDb.1;Data Source=$Workbook$;Location=&quot;transaction-2025-08-01-2025-09-03 UKZmYwDn2E6bQGEaYjEO9g (2)&quot;;Extended Properties=&quot;&quot;" command="SELECT * FROM [transaction-2025-08-01-2025-09-03 UKZmYwDn2E6bQGEaYjEO9g (2)]"/>
  </connection>
  <connection id="13" xr16:uid="{68AFD72D-4277-4DA0-89AE-28CD88BC2E09}" keepAlive="1" name="查詢 - transaction-2025-09-01-2025-10-03 kQl4du4cKUqdFOahetFYRw" description="與活頁簿中 'transaction-2025-09-01-2025-10-03 kQl4du4cKUqdFOahetFYRw' 查詢的連接。" type="5" refreshedVersion="0" background="1">
    <dbPr connection="Provider=Microsoft.Mashup.OleDb.1;Data Source=$Workbook$;Location=&quot;transaction-2025-09-01-2025-10-03 kQl4du4cKUqdFOahetFYRw&quot;;Extended Properties=&quot;&quot;" command="SELECT * FROM [transaction-2025-09-01-2025-10-03 kQl4du4cKUqdFOahetFYRw]"/>
  </connection>
  <connection id="14" xr16:uid="{5276DAD8-4ADD-4705-B526-E6708B502B5F}" keepAlive="1" name="查詢 - transaction-2025-10-01-2025-11-03 eJvuyKjGpEmLCRLkzjLIg" description="與活頁簿中 'transaction-2025-10-01-2025-11-03 eJvuyKjGpEmLCRLkzjLIg' 查詢的連接。" type="5" refreshedVersion="0" background="1">
    <dbPr connection="Provider=Microsoft.Mashup.OleDb.1;Data Source=$Workbook$;Location=&quot;transaction-2025-10-01-2025-11-03 eJvuyKjGpEmLCRLkzjLIg&quot;;Extended Properties=&quot;&quot;" command="SELECT * FROM [transaction-2025-10-01-2025-11-03 eJvuyKjGpEmLCRLkzjLIg]"/>
  </connection>
  <connection id="15" xr16:uid="{7F5665BB-5B08-4545-9999-D470903C0860}" keepAlive="1" name="查詢 - transaction-2025-11-01-2025-12-02 ukbm7peiWkOOgv9yV1DmJQ" description="與活頁簿中 'transaction-2025-11-01-2025-12-02 ukbm7peiWkOOgv9yV1DmJQ' 查詢的連接。" type="5" refreshedVersion="0" background="1">
    <dbPr connection="Provider=Microsoft.Mashup.OleDb.1;Data Source=$Workbook$;Location=&quot;transaction-2025-11-01-2025-12-02 ukbm7peiWkOOgv9yV1DmJQ&quot;;Extended Properties=&quot;&quot;" command="SELECT * FROM [transaction-2025-11-01-2025-12-02 ukbm7peiWkOOgv9yV1DmJQ]"/>
  </connection>
  <connection id="16" xr16:uid="{0C9270CD-1BC4-44D9-8601-03144CF92554}" keepAlive="1" name="查詢 - transaction-2025-12-01-2026-01-05 Cz1pFNvz0e6MZTJfoOSw" description="與活頁簿中 'transaction-2025-12-01-2026-01-05 Cz1pFNvz0e6MZTJfoOSw' 查詢的連接。" type="5" refreshedVersion="0" background="1">
    <dbPr connection="Provider=Microsoft.Mashup.OleDb.1;Data Source=$Workbook$;Location=&quot;transaction-2025-12-01-2026-01-05 Cz1pFNvz0e6MZTJfoOSw&quot;;Extended Properties=&quot;&quot;" command="SELECT * FROM [transaction-2025-12-01-2026-01-05 Cz1pFNvz0e6MZTJfoOSw]"/>
  </connection>
  <connection id="17" xr16:uid="{0DC61BA1-411C-4B22-B43D-96A4041C1BAF}" keepAlive="1" name="查詢 - transaction-2026-01-01-2026-02-03 LCj9M8lH0BFgc4GXgikw" description="與活頁簿中 'transaction-2026-01-01-2026-02-03 LCj9M8lH0BFgc4GXgikw' 查詢的連接。" type="5" refreshedVersion="0" background="1">
    <dbPr connection="Provider=Microsoft.Mashup.OleDb.1;Data Source=$Workbook$;Location=&quot;transaction-2026-01-01-2026-02-03 LCj9M8lH0BFgc4GXgikw&quot;;Extended Properties=&quot;&quot;" command="SELECT * FROM [transaction-2026-01-01-2026-02-03 LCj9M8lH0BFgc4GXgikw]"/>
  </connection>
</connections>
</file>

<file path=xl/sharedStrings.xml><?xml version="1.0" encoding="utf-8"?>
<sst xmlns="http://schemas.openxmlformats.org/spreadsheetml/2006/main" count="72" uniqueCount="49">
  <si>
    <t>INVOICE</t>
    <phoneticPr fontId="7" type="noConversion"/>
  </si>
  <si>
    <t>Roy Wan</t>
    <phoneticPr fontId="7" type="noConversion"/>
  </si>
  <si>
    <t>Invoice No :</t>
    <phoneticPr fontId="7" type="noConversion"/>
  </si>
  <si>
    <t>Date :</t>
  </si>
  <si>
    <t>Customer ID :</t>
  </si>
  <si>
    <t>QUANTITY</t>
  </si>
  <si>
    <t>Description</t>
  </si>
  <si>
    <t>Quantity</t>
  </si>
  <si>
    <t>Grand Total</t>
  </si>
  <si>
    <t>THANK YOU FOR YOUR BUSINESS!</t>
  </si>
  <si>
    <t>Price(TWD)</t>
  </si>
  <si>
    <t>Line Total(TWD)</t>
  </si>
  <si>
    <t>美國</t>
  </si>
  <si>
    <t>TWD</t>
    <phoneticPr fontId="1" type="noConversion"/>
  </si>
  <si>
    <t>Freight</t>
    <phoneticPr fontId="1" type="noConversion"/>
  </si>
  <si>
    <t>Tracking Fee</t>
    <phoneticPr fontId="1" type="noConversion"/>
  </si>
  <si>
    <t>TotalCost</t>
    <phoneticPr fontId="1" type="noConversion"/>
  </si>
  <si>
    <t>AdditionalFee</t>
    <phoneticPr fontId="1" type="noConversion"/>
  </si>
  <si>
    <t xml:space="preserve">ChargeWeight </t>
    <phoneticPr fontId="1" type="noConversion"/>
  </si>
  <si>
    <t>Currency</t>
    <phoneticPr fontId="1" type="noConversion"/>
  </si>
  <si>
    <t>DestinationCountry</t>
    <phoneticPr fontId="1" type="noConversion"/>
  </si>
  <si>
    <t>TrackingNumber</t>
    <phoneticPr fontId="1" type="noConversion"/>
  </si>
  <si>
    <t>ClientCode</t>
    <phoneticPr fontId="1" type="noConversion"/>
  </si>
  <si>
    <t>ArrivalDate</t>
    <phoneticPr fontId="1" type="noConversion"/>
  </si>
  <si>
    <t>Directline Shipping Fee</t>
    <phoneticPr fontId="1" type="noConversion"/>
  </si>
  <si>
    <t>5%  V.A.T</t>
    <phoneticPr fontId="1" type="noConversion"/>
  </si>
  <si>
    <r>
      <t>Subtoatal</t>
    </r>
    <r>
      <rPr>
        <b/>
        <sz val="11"/>
        <color rgb="FF00B0F0"/>
        <rFont val="Times New Roman"/>
        <family val="1"/>
      </rPr>
      <t>(excl. VAT)</t>
    </r>
    <phoneticPr fontId="1" type="noConversion"/>
  </si>
  <si>
    <r>
      <t xml:space="preserve">1. Bank Transfer:
Beneficiary Name: </t>
    </r>
    <r>
      <rPr>
        <b/>
        <sz val="11"/>
        <rFont val="新細明體"/>
        <family val="1"/>
      </rPr>
      <t>香港商偉業技術有限公司台灣分公司</t>
    </r>
    <r>
      <rPr>
        <sz val="11"/>
        <rFont val="Times New Roman"/>
        <family val="1"/>
      </rPr>
      <t xml:space="preserve">
Beneficiary Bank: </t>
    </r>
    <r>
      <rPr>
        <sz val="11"/>
        <rFont val="新細明體"/>
        <family val="1"/>
        <charset val="136"/>
      </rPr>
      <t>凱基銀行</t>
    </r>
    <r>
      <rPr>
        <sz val="11"/>
        <rFont val="Times New Roman"/>
        <family val="1"/>
      </rPr>
      <t xml:space="preserve"> KGI Bank
Bank Branch: </t>
    </r>
    <r>
      <rPr>
        <sz val="11"/>
        <rFont val="新細明體"/>
        <family val="1"/>
        <charset val="136"/>
      </rPr>
      <t>瑞光分行</t>
    </r>
    <r>
      <rPr>
        <sz val="11"/>
        <rFont val="Times New Roman"/>
        <family val="1"/>
      </rPr>
      <t xml:space="preserve"> (0717)
Account no.:6071-01-0000128-8
Bank Code: 809</t>
    </r>
    <phoneticPr fontId="1" type="noConversion"/>
  </si>
  <si>
    <t>澳洲</t>
  </si>
  <si>
    <t>2026-02-26 23:00:00</t>
  </si>
  <si>
    <t>HK0C142875</t>
  </si>
  <si>
    <t>YT2605500704167653</t>
  </si>
  <si>
    <t>YT2605500704305485</t>
  </si>
  <si>
    <t>YT2605500704356363</t>
  </si>
  <si>
    <t>YT2605500704128598</t>
  </si>
  <si>
    <t>YT2605500704343411</t>
  </si>
  <si>
    <t>YT2605500704349582</t>
  </si>
  <si>
    <t>YT2604500700491884</t>
  </si>
  <si>
    <t>RETURN HELPER LIMITED TAIWAN BRANCH</t>
    <phoneticPr fontId="7" type="noConversion"/>
  </si>
  <si>
    <t>4 F., No. 136, Sec. 1, Neihu Rd., Xikang Vil., Neihu Dist., Taipei City 114066, Taiwan</t>
    <phoneticPr fontId="7" type="noConversion"/>
  </si>
  <si>
    <t>+886 8751 5147</t>
    <phoneticPr fontId="7" type="noConversion"/>
  </si>
  <si>
    <r>
      <t>[</t>
    </r>
    <r>
      <rPr>
        <sz val="12"/>
        <rFont val="新細明體"/>
        <family val="1"/>
        <charset val="136"/>
      </rPr>
      <t>客戶代碼</t>
    </r>
    <r>
      <rPr>
        <sz val="12"/>
        <rFont val="Times New Roman"/>
        <family val="1"/>
      </rPr>
      <t>]+[</t>
    </r>
    <r>
      <rPr>
        <sz val="12"/>
        <rFont val="新細明體"/>
        <family val="1"/>
        <charset val="136"/>
      </rPr>
      <t>開立日期</t>
    </r>
    <r>
      <rPr>
        <sz val="12"/>
        <rFont val="Times New Roman"/>
        <family val="1"/>
      </rPr>
      <t>]'</t>
    </r>
    <phoneticPr fontId="1" type="noConversion"/>
  </si>
  <si>
    <t>[開立日期]</t>
    <phoneticPr fontId="1" type="noConversion"/>
  </si>
  <si>
    <t>[客戶姓名]</t>
    <phoneticPr fontId="1" type="noConversion"/>
  </si>
  <si>
    <t>[公司名稱]</t>
    <phoneticPr fontId="1" type="noConversion"/>
  </si>
  <si>
    <r>
      <t>[</t>
    </r>
    <r>
      <rPr>
        <sz val="12"/>
        <rFont val="細明體"/>
        <family val="1"/>
        <charset val="136"/>
      </rPr>
      <t>客戶地址</t>
    </r>
    <r>
      <rPr>
        <sz val="12"/>
        <rFont val="Times New Roman"/>
        <family val="1"/>
      </rPr>
      <t>]</t>
    </r>
    <phoneticPr fontId="1" type="noConversion"/>
  </si>
  <si>
    <r>
      <t>[</t>
    </r>
    <r>
      <rPr>
        <sz val="12"/>
        <rFont val="細明體"/>
        <family val="1"/>
        <charset val="136"/>
      </rPr>
      <t>客戶電話</t>
    </r>
    <r>
      <rPr>
        <sz val="12"/>
        <rFont val="Times New Roman"/>
        <family val="1"/>
      </rPr>
      <t>]</t>
    </r>
    <phoneticPr fontId="1" type="noConversion"/>
  </si>
  <si>
    <r>
      <t>"$"+[</t>
    </r>
    <r>
      <rPr>
        <sz val="8"/>
        <color theme="1"/>
        <rFont val="細明體"/>
        <family val="1"/>
        <charset val="136"/>
      </rPr>
      <t>未稅價格</t>
    </r>
    <r>
      <rPr>
        <sz val="8"/>
        <color theme="1"/>
        <rFont val="Times New Roman"/>
        <family val="1"/>
      </rPr>
      <t>]'</t>
    </r>
    <phoneticPr fontId="1" type="noConversion"/>
  </si>
  <si>
    <t>CNH154978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</si>
</sst>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(&quot;$&quot;* #,##0.00_);_(&quot;$&quot;* \(#,##0.00\);_(&quot;$&quot;* &quot;-&quot;??_);_(@_)"/>
    <numFmt numFmtId="177" formatCode="&quot;$&quot;#,##0.00"/>
  </numFmts>
  <fonts count="4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Times New Roman"/>
      <family val="1"/>
    </font>
    <font>
      <sz val="10"/>
      <color rgb="FF7F7F7F"/>
      <name val="新細明體"/>
      <family val="2"/>
      <scheme val="minor"/>
    </font>
    <font>
      <sz val="10"/>
      <color rgb="FF7F7F7F"/>
      <name val="Times New Roman"/>
      <family val="1"/>
    </font>
    <font>
      <b/>
      <sz val="60"/>
      <color theme="5"/>
      <name val="新細明體"/>
      <family val="2"/>
      <scheme val="major"/>
    </font>
    <font>
      <b/>
      <sz val="36"/>
      <color theme="1"/>
      <name val="Times New Roman"/>
      <family val="1"/>
    </font>
    <font>
      <sz val="8"/>
      <name val="Arial"/>
      <family val="2"/>
    </font>
    <font>
      <b/>
      <sz val="48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color theme="1"/>
      <name val="新細明體"/>
      <family val="2"/>
      <scheme val="major"/>
    </font>
    <font>
      <b/>
      <sz val="12"/>
      <color theme="1"/>
      <name val="Times New Roman"/>
      <family val="1"/>
    </font>
    <font>
      <sz val="11"/>
      <name val="新細明體"/>
      <family val="2"/>
      <scheme val="major"/>
    </font>
    <font>
      <sz val="12"/>
      <color theme="3" tint="-0.249977111117893"/>
      <name val="Times New Roman"/>
      <family val="1"/>
    </font>
    <font>
      <b/>
      <sz val="12"/>
      <color theme="3" tint="-0.249977111117893"/>
      <name val="Times New Roman"/>
      <family val="1"/>
    </font>
    <font>
      <sz val="8"/>
      <color theme="3" tint="-0.249977111117893"/>
      <name val="Times New Roman"/>
      <family val="1"/>
    </font>
    <font>
      <sz val="11"/>
      <color theme="0"/>
      <name val="Times New Roman"/>
      <family val="1"/>
    </font>
    <font>
      <b/>
      <sz val="12"/>
      <color theme="1"/>
      <name val="新細明體"/>
      <family val="2"/>
      <scheme val="major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rgb="FF00B0F0"/>
      <name val="Times New Roman"/>
      <family val="1"/>
    </font>
    <font>
      <sz val="8"/>
      <color theme="0"/>
      <name val="Times New Roman"/>
      <family val="1"/>
    </font>
    <font>
      <sz val="11"/>
      <name val="Times New Roman"/>
      <family val="1"/>
    </font>
    <font>
      <b/>
      <sz val="12"/>
      <color theme="5"/>
      <name val="新細明體"/>
      <family val="2"/>
      <scheme val="major"/>
    </font>
    <font>
      <b/>
      <sz val="12"/>
      <color theme="5"/>
      <name val="Times New Roman"/>
      <family val="1"/>
    </font>
    <font>
      <b/>
      <sz val="10"/>
      <name val="Times New Roman"/>
      <family val="1"/>
    </font>
    <font>
      <b/>
      <i/>
      <sz val="10"/>
      <color indexed="46"/>
      <name val="Times New Roman"/>
      <family val="1"/>
    </font>
    <font>
      <sz val="10"/>
      <color indexed="46"/>
      <name val="Times New Roman"/>
      <family val="1"/>
    </font>
    <font>
      <b/>
      <sz val="10"/>
      <color indexed="41"/>
      <name val="Times New Roman"/>
      <family val="1"/>
    </font>
    <font>
      <sz val="10"/>
      <name val="新細明體"/>
      <family val="2"/>
      <scheme val="minor"/>
    </font>
    <font>
      <sz val="12"/>
      <color theme="1"/>
      <name val="新細明體"/>
      <family val="1"/>
      <charset val="136"/>
      <scheme val="major"/>
    </font>
    <font>
      <b/>
      <sz val="11"/>
      <color rgb="FF00B0F0"/>
      <name val="Times New Roman"/>
      <family val="1"/>
    </font>
    <font>
      <sz val="11"/>
      <name val="新細明體"/>
      <family val="1"/>
      <charset val="136"/>
    </font>
    <font>
      <b/>
      <sz val="11"/>
      <name val="新細明體"/>
      <family val="1"/>
    </font>
    <font>
      <b/>
      <sz val="12"/>
      <name val="細明體"/>
      <family val="1"/>
      <charset val="136"/>
    </font>
    <font>
      <sz val="12"/>
      <color rgb="FFFF0000"/>
      <name val="Times New Roman"/>
      <family val="1"/>
    </font>
    <font>
      <sz val="12"/>
      <name val="新細明體"/>
      <family val="1"/>
      <charset val="136"/>
    </font>
    <font>
      <sz val="12"/>
      <name val="細明體"/>
      <family val="1"/>
      <charset val="136"/>
    </font>
    <font>
      <sz val="8"/>
      <color theme="1"/>
      <name val="細明體"/>
      <family val="1"/>
      <charset val="136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9">
    <xf numFmtId="0" fontId="0" fillId="0" borderId="0">
      <alignment vertical="center"/>
    </xf>
    <xf numFmtId="0" fontId="5" fillId="0" borderId="0">
      <alignment horizontal="right" vertical="center"/>
    </xf>
    <xf numFmtId="0" fontId="11" fillId="0" borderId="0">
      <alignment horizontal="right"/>
    </xf>
    <xf numFmtId="0" fontId="13" fillId="0" borderId="0"/>
    <xf numFmtId="0" fontId="13" fillId="0" borderId="0">
      <alignment horizontal="center" vertical="center"/>
    </xf>
    <xf numFmtId="0" fontId="18" fillId="3" borderId="0">
      <alignment horizontal="left" vertical="center"/>
    </xf>
    <xf numFmtId="0" fontId="24" fillId="0" borderId="0">
      <alignment horizontal="center" vertical="center"/>
    </xf>
    <xf numFmtId="0" fontId="30" fillId="0" borderId="0"/>
    <xf numFmtId="0" fontId="3" fillId="0" borderId="0" applyNumberFormat="0" applyFill="0" applyBorder="0" applyAlignment="0" applyProtection="0"/>
  </cellStyleXfs>
  <cellXfs count="71">
    <xf numFmtId="0" fontId="0" fillId="0" borderId="0" xfId="0">
      <alignment vertical="center"/>
    </xf>
    <xf numFmtId="0" fontId="12" fillId="0" borderId="0" xfId="2" applyFont="1" applyAlignment="1">
      <alignment horizontal="left"/>
    </xf>
    <xf numFmtId="0" fontId="12" fillId="0" borderId="0" xfId="2" applyFont="1">
      <alignment horizontal="right"/>
    </xf>
    <xf numFmtId="0" fontId="9" fillId="0" borderId="0" xfId="3" applyFont="1"/>
    <xf numFmtId="0" fontId="9" fillId="0" borderId="0" xfId="3" quotePrefix="1" applyFont="1"/>
    <xf numFmtId="0" fontId="9" fillId="0" borderId="0" xfId="4" applyFont="1">
      <alignment horizontal="center" vertical="center"/>
    </xf>
    <xf numFmtId="0" fontId="12" fillId="4" borderId="0" xfId="5" applyFont="1" applyFill="1">
      <alignment horizontal="left" vertical="center"/>
    </xf>
    <xf numFmtId="0" fontId="12" fillId="4" borderId="1" xfId="5" applyFont="1" applyFill="1" applyBorder="1">
      <alignment horizontal="left" vertical="center"/>
    </xf>
    <xf numFmtId="0" fontId="25" fillId="0" borderId="0" xfId="6" applyFont="1">
      <alignment horizontal="center" vertical="center"/>
    </xf>
    <xf numFmtId="0" fontId="2" fillId="0" borderId="0" xfId="7" applyFont="1"/>
    <xf numFmtId="0" fontId="9" fillId="0" borderId="0" xfId="7" applyFont="1"/>
    <xf numFmtId="0" fontId="10" fillId="0" borderId="0" xfId="7" applyFont="1"/>
    <xf numFmtId="0" fontId="14" fillId="0" borderId="0" xfId="7" applyFont="1"/>
    <xf numFmtId="0" fontId="14" fillId="0" borderId="0" xfId="7" applyFont="1" applyAlignment="1">
      <alignment horizontal="left" indent="1"/>
    </xf>
    <xf numFmtId="0" fontId="14" fillId="0" borderId="0" xfId="7" applyFont="1" applyAlignment="1">
      <alignment horizontal="left"/>
    </xf>
    <xf numFmtId="0" fontId="15" fillId="0" borderId="0" xfId="7" applyFont="1"/>
    <xf numFmtId="0" fontId="15" fillId="0" borderId="0" xfId="7" applyFont="1" applyAlignment="1">
      <alignment horizontal="left"/>
    </xf>
    <xf numFmtId="2" fontId="16" fillId="2" borderId="0" xfId="7" applyNumberFormat="1" applyFont="1" applyFill="1" applyAlignment="1">
      <alignment horizontal="center"/>
    </xf>
    <xf numFmtId="0" fontId="16" fillId="2" borderId="0" xfId="7" applyFont="1" applyFill="1" applyAlignment="1">
      <alignment wrapText="1"/>
    </xf>
    <xf numFmtId="0" fontId="16" fillId="2" borderId="0" xfId="7" applyFont="1" applyFill="1" applyAlignment="1">
      <alignment horizontal="left" wrapText="1"/>
    </xf>
    <xf numFmtId="0" fontId="16" fillId="2" borderId="1" xfId="7" applyFont="1" applyFill="1" applyBorder="1" applyAlignment="1">
      <alignment horizontal="left" wrapText="1"/>
    </xf>
    <xf numFmtId="176" fontId="16" fillId="2" borderId="0" xfId="7" applyNumberFormat="1" applyFont="1" applyFill="1" applyAlignment="1">
      <alignment horizontal="right"/>
    </xf>
    <xf numFmtId="0" fontId="2" fillId="2" borderId="0" xfId="7" applyFont="1" applyFill="1"/>
    <xf numFmtId="0" fontId="17" fillId="0" borderId="0" xfId="7" applyFont="1" applyAlignment="1">
      <alignment horizontal="left"/>
    </xf>
    <xf numFmtId="2" fontId="19" fillId="0" borderId="0" xfId="7" applyNumberFormat="1" applyFont="1" applyAlignment="1">
      <alignment horizontal="left" vertical="center"/>
    </xf>
    <xf numFmtId="0" fontId="20" fillId="0" borderId="0" xfId="7" applyFont="1"/>
    <xf numFmtId="0" fontId="16" fillId="0" borderId="0" xfId="7" applyFont="1" applyAlignment="1">
      <alignment vertical="center"/>
    </xf>
    <xf numFmtId="0" fontId="21" fillId="0" borderId="1" xfId="7" applyFont="1" applyBorder="1" applyAlignment="1">
      <alignment horizontal="left" vertical="center"/>
    </xf>
    <xf numFmtId="176" fontId="22" fillId="4" borderId="0" xfId="7" applyNumberFormat="1" applyFont="1" applyFill="1" applyAlignment="1">
      <alignment vertical="center"/>
    </xf>
    <xf numFmtId="0" fontId="26" fillId="0" borderId="0" xfId="7" applyFont="1" applyAlignment="1">
      <alignment horizontal="center"/>
    </xf>
    <xf numFmtId="0" fontId="27" fillId="0" borderId="0" xfId="7" applyFont="1" applyAlignment="1">
      <alignment horizontal="center"/>
    </xf>
    <xf numFmtId="0" fontId="28" fillId="0" borderId="0" xfId="7" applyFont="1" applyAlignment="1">
      <alignment horizontal="center"/>
    </xf>
    <xf numFmtId="0" fontId="28" fillId="0" borderId="0" xfId="7" applyFont="1" applyAlignment="1">
      <alignment horizontal="left"/>
    </xf>
    <xf numFmtId="0" fontId="2" fillId="0" borderId="0" xfId="7" applyFont="1" applyAlignment="1">
      <alignment horizontal="left"/>
    </xf>
    <xf numFmtId="0" fontId="29" fillId="0" borderId="0" xfId="7" applyFont="1" applyAlignment="1">
      <alignment horizontal="center"/>
    </xf>
    <xf numFmtId="0" fontId="26" fillId="0" borderId="0" xfId="7" applyFont="1" applyAlignment="1">
      <alignment horizontal="left"/>
    </xf>
    <xf numFmtId="0" fontId="19" fillId="0" borderId="1" xfId="7" applyFont="1" applyBorder="1" applyAlignment="1">
      <alignment horizontal="left" vertical="center" wrapText="1"/>
    </xf>
    <xf numFmtId="177" fontId="19" fillId="0" borderId="0" xfId="7" applyNumberFormat="1" applyFont="1" applyAlignment="1">
      <alignment vertical="center"/>
    </xf>
    <xf numFmtId="0" fontId="19" fillId="0" borderId="0" xfId="7" applyFont="1" applyAlignment="1">
      <alignment horizontal="left" vertical="center"/>
    </xf>
    <xf numFmtId="0" fontId="19" fillId="6" borderId="0" xfId="7" applyFont="1" applyFill="1" applyAlignment="1">
      <alignment horizontal="left" vertical="center"/>
    </xf>
    <xf numFmtId="177" fontId="19" fillId="6" borderId="0" xfId="7" applyNumberFormat="1" applyFont="1" applyFill="1" applyAlignment="1">
      <alignment vertical="center"/>
    </xf>
    <xf numFmtId="0" fontId="19" fillId="6" borderId="1" xfId="7" applyFont="1" applyFill="1" applyBorder="1" applyAlignment="1">
      <alignment horizontal="left" vertical="center" wrapText="1"/>
    </xf>
    <xf numFmtId="0" fontId="19" fillId="0" borderId="2" xfId="7" applyFont="1" applyBorder="1" applyAlignment="1">
      <alignment horizontal="left" vertical="center" wrapText="1"/>
    </xf>
    <xf numFmtId="0" fontId="19" fillId="6" borderId="2" xfId="7" applyFont="1" applyFill="1" applyBorder="1" applyAlignment="1">
      <alignment horizontal="left" vertical="center" wrapText="1"/>
    </xf>
    <xf numFmtId="0" fontId="16" fillId="0" borderId="2" xfId="7" applyFont="1" applyBorder="1" applyAlignment="1">
      <alignment vertical="center"/>
    </xf>
    <xf numFmtId="177" fontId="19" fillId="0" borderId="3" xfId="7" applyNumberFormat="1" applyFont="1" applyBorder="1" applyAlignment="1">
      <alignment vertical="center"/>
    </xf>
    <xf numFmtId="177" fontId="19" fillId="6" borderId="3" xfId="7" applyNumberFormat="1" applyFont="1" applyFill="1" applyBorder="1" applyAlignment="1">
      <alignment vertical="center"/>
    </xf>
    <xf numFmtId="0" fontId="10" fillId="0" borderId="0" xfId="3" applyFont="1"/>
    <xf numFmtId="0" fontId="3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" fillId="0" borderId="0" xfId="3" quotePrefix="1" applyFont="1" applyAlignment="1">
      <alignment horizontal="left" vertical="top" wrapText="1"/>
    </xf>
    <xf numFmtId="0" fontId="35" fillId="0" borderId="0" xfId="3" applyFont="1" applyAlignment="1">
      <alignment wrapText="1"/>
    </xf>
    <xf numFmtId="0" fontId="0" fillId="0" borderId="0" xfId="0" applyAlignment="1"/>
    <xf numFmtId="0" fontId="36" fillId="0" borderId="0" xfId="3" applyFont="1" applyAlignment="1">
      <alignment horizontal="left" vertical="top" wrapText="1"/>
    </xf>
    <xf numFmtId="0" fontId="35" fillId="0" borderId="0" xfId="3" applyFont="1"/>
    <xf numFmtId="0" fontId="23" fillId="5" borderId="0" xfId="4" applyFont="1" applyFill="1" applyAlignment="1">
      <alignment horizontal="left" vertical="top" wrapText="1"/>
    </xf>
    <xf numFmtId="0" fontId="23" fillId="5" borderId="0" xfId="4" applyFont="1" applyFill="1" applyAlignment="1">
      <alignment horizontal="left" vertical="top"/>
    </xf>
    <xf numFmtId="0" fontId="21" fillId="0" borderId="0" xfId="6" applyFont="1">
      <alignment horizontal="center" vertical="center"/>
    </xf>
    <xf numFmtId="0" fontId="26" fillId="0" borderId="0" xfId="7" applyFont="1" applyAlignment="1">
      <alignment horizontal="center"/>
    </xf>
    <xf numFmtId="0" fontId="2" fillId="0" borderId="0" xfId="7" applyFont="1" applyAlignment="1">
      <alignment horizontal="center"/>
    </xf>
    <xf numFmtId="0" fontId="4" fillId="0" borderId="0" xfId="8" applyFont="1" applyBorder="1" applyAlignment="1">
      <alignment horizontal="left"/>
    </xf>
    <xf numFmtId="0" fontId="6" fillId="0" borderId="0" xfId="1" applyFont="1">
      <alignment horizontal="right" vertical="center"/>
    </xf>
    <xf numFmtId="0" fontId="8" fillId="0" borderId="0" xfId="1" applyFont="1">
      <alignment horizontal="right" vertical="center"/>
    </xf>
    <xf numFmtId="0" fontId="9" fillId="0" borderId="0" xfId="3" applyFont="1" applyAlignment="1">
      <alignment horizontal="left" vertical="center" wrapText="1"/>
    </xf>
    <xf numFmtId="0" fontId="10" fillId="0" borderId="0" xfId="3" applyFont="1"/>
    <xf numFmtId="0" fontId="9" fillId="0" borderId="0" xfId="3" applyFont="1" applyAlignment="1">
      <alignment horizontal="left" vertical="top" wrapText="1"/>
    </xf>
    <xf numFmtId="0" fontId="12" fillId="4" borderId="0" xfId="5" applyFont="1" applyFill="1">
      <alignment horizontal="left" vertical="center"/>
    </xf>
    <xf numFmtId="0" fontId="12" fillId="4" borderId="2" xfId="5" applyFont="1" applyFill="1" applyBorder="1">
      <alignment horizontal="left" vertical="center"/>
    </xf>
    <xf numFmtId="14" fontId="38" fillId="0" borderId="0" xfId="7" applyNumberFormat="1" applyFont="1" applyAlignment="1">
      <alignment horizontal="left"/>
    </xf>
    <xf numFmtId="177" fontId="19" fillId="0" borderId="3" xfId="7" quotePrefix="1" applyNumberFormat="1" applyFont="1" applyBorder="1" applyAlignment="1">
      <alignment vertical="center"/>
    </xf>
  </cellXfs>
  <cellStyles count="9">
    <cellStyle name="Col" xfId="5" xr:uid="{2174F67D-67CA-42B0-970F-975864A668D0}"/>
    <cellStyle name="Header" xfId="1" xr:uid="{C9FD870B-A0D9-498D-9340-E50B346FE9A2}"/>
    <cellStyle name="Info" xfId="3" xr:uid="{7AE87A1E-EE70-4D66-B429-64092725A690}"/>
    <cellStyle name="Info 2" xfId="2" xr:uid="{686E5D6A-3308-4FB2-9354-3C8BEE945D1B}"/>
    <cellStyle name="Info 3" xfId="6" xr:uid="{1EE3D5EF-2C89-4346-8B65-A021E7172150}"/>
    <cellStyle name="Info 4" xfId="4" xr:uid="{7693C1FE-C55F-4B6C-BAFE-DCE42EAEC0CC}"/>
    <cellStyle name="一般" xfId="0" builtinId="0"/>
    <cellStyle name="一般 2" xfId="7" xr:uid="{A8B7D5C5-285D-478E-9B20-661CD251BDE3}"/>
    <cellStyle name="說明文字 2" xfId="8" xr:uid="{F41D442D-6CA0-4053-8E7A-DD51DB8D1E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576234</xdr:colOff>
      <xdr:row>6</xdr:row>
      <xdr:rowOff>152811</xdr:rowOff>
    </xdr:from>
    <xdr:to>
      <xdr:col>6</xdr:col>
      <xdr:colOff>18903</xdr:colOff>
      <xdr:row>11</xdr:row>
      <xdr:rowOff>155351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2DF2D918-CD9B-4FB6-8DB7-051898814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10109" y="2400711"/>
          <a:ext cx="1068865" cy="1050290"/>
        </a:xfrm>
        <a:prstGeom prst="rect">
          <a:avLst/>
        </a:prstGeom>
      </xdr:spPr>
    </xdr:pic>
    <xdr:clientData/>
  </xdr:twoCellAnchor>
  <xdr:twoCellAnchor editAs="oneCell">
    <xdr:from>
      <xdr:col>2</xdr:col>
      <xdr:colOff>33608</xdr:colOff>
      <xdr:row>0</xdr:row>
      <xdr:rowOff>282150</xdr:rowOff>
    </xdr:from>
    <xdr:to>
      <xdr:col>4</xdr:col>
      <xdr:colOff>339</xdr:colOff>
      <xdr:row>0</xdr:row>
      <xdr:rowOff>1006849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C34794D0-C98C-5AE9-69E9-25CDDC897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196" y="282150"/>
          <a:ext cx="2845380" cy="7151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4BAB-DA24-416D-AB7D-74BD77543F44}">
  <sheetPr>
    <tabColor theme="4"/>
    <pageSetUpPr fitToPage="1"/>
  </sheetPr>
  <dimension ref="B1:H36"/>
  <sheetViews>
    <sheetView showGridLines="0" zoomScale="71" zoomScaleNormal="71" workbookViewId="0">
      <selection activeCell="E17" sqref="E17"/>
    </sheetView>
  </sheetViews>
  <sheetFormatPr defaultColWidth="7" defaultRowHeight="13" x14ac:dyDescent="0.3"/>
  <cols>
    <col min="1" max="1" width="9.36328125" style="9" customWidth="1"/>
    <col min="2" max="2" width="1.453125" style="9" customWidth="1"/>
    <col min="3" max="3" width="23.08984375" style="9" customWidth="1"/>
    <col min="4" max="4" width="18.90625" style="9" customWidth="1"/>
    <col min="5" max="5" width="14.81640625" style="9" customWidth="1"/>
    <col min="6" max="6" width="22.1796875" style="33" bestFit="1" customWidth="1"/>
    <col min="7" max="7" width="19" style="9" bestFit="1" customWidth="1"/>
    <col min="8" max="8" width="1.453125" style="9" customWidth="1"/>
    <col min="9" max="9" width="1.90625" style="9" customWidth="1"/>
    <col min="10" max="16384" width="7" style="9"/>
  </cols>
  <sheetData>
    <row r="1" spans="2:8" ht="95.25" customHeight="1" x14ac:dyDescent="0.3">
      <c r="C1" s="61"/>
      <c r="D1" s="61"/>
      <c r="E1" s="62" t="s">
        <v>0</v>
      </c>
      <c r="F1" s="63"/>
      <c r="G1" s="63"/>
    </row>
    <row r="2" spans="2:8" s="10" customFormat="1" ht="16.5" customHeight="1" x14ac:dyDescent="0.4">
      <c r="C2" s="11" t="s">
        <v>1</v>
      </c>
      <c r="D2" s="1"/>
      <c r="F2" s="2" t="s">
        <v>2</v>
      </c>
      <c r="G2" s="4" t="s">
        <v>41</v>
      </c>
      <c r="H2" s="3"/>
    </row>
    <row r="3" spans="2:8" s="10" customFormat="1" ht="16.5" customHeight="1" x14ac:dyDescent="0.4">
      <c r="C3" s="1" t="s">
        <v>38</v>
      </c>
      <c r="D3" s="1"/>
      <c r="F3" s="2" t="s">
        <v>3</v>
      </c>
      <c r="G3" s="69" t="s">
        <v>42</v>
      </c>
      <c r="H3" s="3"/>
    </row>
    <row r="4" spans="2:8" s="10" customFormat="1" ht="16.5" customHeight="1" x14ac:dyDescent="0.35">
      <c r="B4" s="12"/>
      <c r="C4" s="64" t="s">
        <v>39</v>
      </c>
      <c r="D4" s="64"/>
      <c r="E4" s="64"/>
      <c r="F4" s="2" t="s">
        <v>4</v>
      </c>
      <c r="G4" s="3"/>
    </row>
    <row r="5" spans="2:8" s="10" customFormat="1" ht="15.5" x14ac:dyDescent="0.35">
      <c r="B5" s="12"/>
      <c r="C5" s="64"/>
      <c r="D5" s="64"/>
      <c r="E5" s="64"/>
      <c r="G5" s="13"/>
    </row>
    <row r="6" spans="2:8" s="10" customFormat="1" ht="16.5" customHeight="1" x14ac:dyDescent="0.35">
      <c r="B6" s="12"/>
      <c r="C6" s="64"/>
      <c r="D6" s="64"/>
      <c r="E6" s="64"/>
    </row>
    <row r="7" spans="2:8" s="10" customFormat="1" ht="16.5" customHeight="1" x14ac:dyDescent="0.35">
      <c r="B7" s="12"/>
      <c r="C7" s="4" t="s">
        <v>40</v>
      </c>
      <c r="D7" s="3"/>
      <c r="E7" s="12"/>
      <c r="F7" s="14"/>
      <c r="G7" s="12"/>
    </row>
    <row r="8" spans="2:8" s="10" customFormat="1" ht="16.5" customHeight="1" x14ac:dyDescent="0.35">
      <c r="B8" s="12"/>
      <c r="C8" s="4"/>
      <c r="D8" s="65"/>
      <c r="E8" s="65"/>
      <c r="F8" s="14"/>
      <c r="G8" s="12"/>
    </row>
    <row r="9" spans="2:8" s="10" customFormat="1" ht="16.5" customHeight="1" x14ac:dyDescent="0.4">
      <c r="B9" s="12"/>
      <c r="C9" s="52" t="s">
        <v>43</v>
      </c>
      <c r="D9" s="3"/>
      <c r="F9" s="14"/>
      <c r="G9" s="12"/>
    </row>
    <row r="10" spans="2:8" s="10" customFormat="1" ht="16.5" customHeight="1" x14ac:dyDescent="0.4">
      <c r="B10" s="5"/>
      <c r="C10" s="55" t="s">
        <v>44</v>
      </c>
      <c r="D10" s="47"/>
      <c r="E10" s="11"/>
      <c r="F10" s="16"/>
      <c r="G10" s="15"/>
    </row>
    <row r="11" spans="2:8" s="10" customFormat="1" ht="16.5" customHeight="1" x14ac:dyDescent="0.35">
      <c r="B11" s="5"/>
      <c r="C11" s="47"/>
      <c r="D11" s="47"/>
      <c r="E11" s="11"/>
      <c r="F11" s="16"/>
      <c r="G11" s="15"/>
    </row>
    <row r="12" spans="2:8" s="10" customFormat="1" ht="16.5" customHeight="1" x14ac:dyDescent="0.35">
      <c r="B12" s="12"/>
      <c r="C12" s="66" t="s">
        <v>45</v>
      </c>
      <c r="D12" s="66"/>
      <c r="E12" s="66"/>
      <c r="F12" s="16"/>
      <c r="G12" s="15"/>
    </row>
    <row r="13" spans="2:8" s="10" customFormat="1" ht="21" customHeight="1" x14ac:dyDescent="0.35">
      <c r="B13" s="12"/>
      <c r="C13" s="66"/>
      <c r="D13" s="66"/>
      <c r="E13" s="66"/>
      <c r="F13" s="16"/>
      <c r="G13" s="15"/>
    </row>
    <row r="14" spans="2:8" s="10" customFormat="1" ht="16.5" customHeight="1" x14ac:dyDescent="0.35">
      <c r="B14" s="12"/>
      <c r="C14" s="51" t="s">
        <v>46</v>
      </c>
      <c r="D14" s="54"/>
      <c r="E14" s="54"/>
      <c r="F14" s="16"/>
      <c r="G14" s="15"/>
    </row>
    <row r="15" spans="2:8" s="22" customFormat="1" ht="16.5" customHeight="1" x14ac:dyDescent="0.3">
      <c r="B15" s="17"/>
      <c r="C15" s="17"/>
      <c r="D15" s="18"/>
      <c r="E15" s="19"/>
      <c r="F15" s="20"/>
      <c r="G15" s="21"/>
    </row>
    <row r="16" spans="2:8" ht="27" customHeight="1" x14ac:dyDescent="0.3">
      <c r="B16" s="23" t="s">
        <v>5</v>
      </c>
      <c r="C16" s="67" t="s">
        <v>6</v>
      </c>
      <c r="D16" s="68"/>
      <c r="E16" s="7" t="s">
        <v>10</v>
      </c>
      <c r="F16" s="7" t="s">
        <v>7</v>
      </c>
      <c r="G16" s="6" t="s">
        <v>11</v>
      </c>
    </row>
    <row r="17" spans="2:8" s="25" customFormat="1" ht="16.5" customHeight="1" x14ac:dyDescent="0.3">
      <c r="B17" s="24"/>
      <c r="C17" s="38" t="s">
        <v>24</v>
      </c>
      <c r="D17" s="42"/>
      <c r="E17" s="70" t="s">
        <v>47</v>
      </c>
      <c r="F17" s="36">
        <v>1</v>
      </c>
      <c r="G17" s="70" t="s">
        <v>47</v>
      </c>
    </row>
    <row r="18" spans="2:8" s="25" customFormat="1" ht="16.5" customHeight="1" x14ac:dyDescent="0.3">
      <c r="B18" s="24"/>
      <c r="C18" s="39"/>
      <c r="D18" s="43"/>
      <c r="E18" s="46">
        <f ca="1">SUMIF('Transaction Record'!C:E,C18,'Transaction Record'!E:E)*-1</f>
        <v>0</v>
      </c>
      <c r="F18" s="41">
        <f>COUNTIF('Transaction Record'!C:C,C18)</f>
        <v>0</v>
      </c>
      <c r="G18" s="40">
        <f t="shared" ref="G17:G19" ca="1" si="0">E18</f>
        <v>0</v>
      </c>
    </row>
    <row r="19" spans="2:8" s="25" customFormat="1" ht="16.5" customHeight="1" x14ac:dyDescent="0.3">
      <c r="B19" s="24"/>
      <c r="C19" s="38"/>
      <c r="D19" s="42"/>
      <c r="E19" s="45">
        <f ca="1">SUMIF('Transaction Record'!C:E,C19,'Transaction Record'!E:E)*-1</f>
        <v>0</v>
      </c>
      <c r="F19" s="36">
        <f>COUNTIF('Transaction Record'!C:C,C19)</f>
        <v>0</v>
      </c>
      <c r="G19" s="37">
        <f t="shared" ca="1" si="0"/>
        <v>0</v>
      </c>
    </row>
    <row r="20" spans="2:8" s="25" customFormat="1" ht="16.5" customHeight="1" x14ac:dyDescent="0.3">
      <c r="B20" s="24"/>
      <c r="C20" s="39"/>
      <c r="D20" s="43"/>
      <c r="E20" s="46">
        <f ca="1">SUMIF('Transaction Record'!C:E,C20,'Transaction Record'!E:E)*-1</f>
        <v>0</v>
      </c>
      <c r="F20" s="41">
        <f>COUNTIF('Transaction Record'!C:C,C20)</f>
        <v>0</v>
      </c>
      <c r="G20" s="40">
        <f t="shared" ref="G20" ca="1" si="1">E20</f>
        <v>0</v>
      </c>
    </row>
    <row r="21" spans="2:8" s="25" customFormat="1" ht="16.5" customHeight="1" x14ac:dyDescent="0.3">
      <c r="B21" s="24"/>
      <c r="C21" s="38"/>
      <c r="D21" s="42"/>
      <c r="E21" s="45">
        <f ca="1">SUMIF('Transaction Record'!C:E,C21,'Transaction Record'!E:E)*-1</f>
        <v>0</v>
      </c>
      <c r="F21" s="36">
        <f>COUNTIF('Transaction Record'!C:C,C21)</f>
        <v>0</v>
      </c>
      <c r="G21" s="37">
        <f t="shared" ref="G21" ca="1" si="2">E21</f>
        <v>0</v>
      </c>
    </row>
    <row r="22" spans="2:8" s="25" customFormat="1" ht="16.5" customHeight="1" x14ac:dyDescent="0.3">
      <c r="B22" s="24"/>
      <c r="C22" s="39"/>
      <c r="D22" s="43"/>
      <c r="E22" s="46">
        <f ca="1">SUMIF('Transaction Record'!C:E,C22,'Transaction Record'!E:E)*-1</f>
        <v>0</v>
      </c>
      <c r="F22" s="41">
        <f>COUNTIF('Transaction Record'!C:C,C22)</f>
        <v>0</v>
      </c>
      <c r="G22" s="40">
        <f t="shared" ref="G22:G23" ca="1" si="3">E22</f>
        <v>0</v>
      </c>
    </row>
    <row r="23" spans="2:8" s="25" customFormat="1" ht="16.5" customHeight="1" x14ac:dyDescent="0.3">
      <c r="B23" s="24"/>
      <c r="C23" s="38"/>
      <c r="D23" s="42"/>
      <c r="E23" s="45">
        <f ca="1">SUMIF('Transaction Record'!C:E,C23,'Transaction Record'!E:E)*-1</f>
        <v>0</v>
      </c>
      <c r="F23" s="36">
        <f>COUNTIF('Transaction Record'!C:C,C23)</f>
        <v>0</v>
      </c>
      <c r="G23" s="37">
        <f t="shared" ca="1" si="3"/>
        <v>0</v>
      </c>
    </row>
    <row r="24" spans="2:8" s="25" customFormat="1" ht="16.5" customHeight="1" x14ac:dyDescent="0.3">
      <c r="B24" s="24"/>
      <c r="C24" s="39"/>
      <c r="D24" s="43"/>
      <c r="E24" s="46">
        <f ca="1">SUMIF('Transaction Record'!C:E,C24,'Transaction Record'!E:E)*-1</f>
        <v>0</v>
      </c>
      <c r="F24" s="41">
        <f>COUNTIF('Transaction Record'!C:C,C24)</f>
        <v>0</v>
      </c>
      <c r="G24" s="40">
        <f t="shared" ref="G24" ca="1" si="4">E24</f>
        <v>0</v>
      </c>
    </row>
    <row r="25" spans="2:8" s="25" customFormat="1" ht="16.5" customHeight="1" x14ac:dyDescent="0.3">
      <c r="B25" s="24"/>
      <c r="C25" s="38"/>
      <c r="D25" s="42"/>
      <c r="E25" s="45">
        <f ca="1">SUMIF('Transaction Record'!C:E,C25,'Transaction Record'!E:E)*-1</f>
        <v>0</v>
      </c>
      <c r="F25" s="36">
        <f>COUNTIF('Transaction Record'!C:C,C25)</f>
        <v>0</v>
      </c>
      <c r="G25" s="37">
        <f t="shared" ref="G25:G26" ca="1" si="5">E25</f>
        <v>0</v>
      </c>
    </row>
    <row r="26" spans="2:8" s="25" customFormat="1" ht="16.25" customHeight="1" x14ac:dyDescent="0.3">
      <c r="B26" s="24"/>
      <c r="C26" s="39"/>
      <c r="D26" s="43"/>
      <c r="E26" s="46">
        <f ca="1">SUMIF('Transaction Record'!C:E,C26,'Transaction Record'!E:E)*-1</f>
        <v>0</v>
      </c>
      <c r="F26" s="41">
        <f>COUNTIF('Transaction Record'!C:C,C26)</f>
        <v>0</v>
      </c>
      <c r="G26" s="40">
        <f t="shared" ca="1" si="5"/>
        <v>0</v>
      </c>
    </row>
    <row r="27" spans="2:8" s="25" customFormat="1" ht="16.5" customHeight="1" x14ac:dyDescent="0.3">
      <c r="B27" s="24"/>
      <c r="C27" s="26"/>
      <c r="D27" s="44"/>
      <c r="E27" s="26"/>
      <c r="F27" s="27" t="s">
        <v>26</v>
      </c>
      <c r="G27" s="28">
        <f ca="1">SUM(G17:G26)</f>
        <v>0</v>
      </c>
      <c r="H27" s="9"/>
    </row>
    <row r="28" spans="2:8" s="25" customFormat="1" ht="16.5" customHeight="1" x14ac:dyDescent="0.3">
      <c r="B28" s="24"/>
      <c r="C28" s="39"/>
      <c r="D28" s="43"/>
      <c r="E28" s="46"/>
      <c r="F28" s="39" t="s">
        <v>25</v>
      </c>
      <c r="G28" s="40">
        <f ca="1">ROUNDUP((SUM(G17:G26))*5%,0)</f>
        <v>0</v>
      </c>
    </row>
    <row r="29" spans="2:8" ht="20.25" customHeight="1" x14ac:dyDescent="0.3">
      <c r="B29" s="26"/>
      <c r="C29" s="26"/>
      <c r="D29" s="44"/>
      <c r="E29" s="26"/>
      <c r="F29" s="27" t="s">
        <v>8</v>
      </c>
      <c r="G29" s="28">
        <f ca="1">SUM(G27:G28)</f>
        <v>0</v>
      </c>
    </row>
    <row r="31" spans="2:8" ht="181.25" customHeight="1" x14ac:dyDescent="0.3">
      <c r="C31" s="56" t="s">
        <v>27</v>
      </c>
      <c r="D31" s="57"/>
      <c r="E31" s="57"/>
      <c r="F31" s="57"/>
      <c r="G31" s="57"/>
    </row>
    <row r="32" spans="2:8" s="8" customFormat="1" ht="27" customHeight="1" x14ac:dyDescent="0.4">
      <c r="C32" s="58" t="s">
        <v>9</v>
      </c>
      <c r="D32" s="58"/>
      <c r="E32" s="58"/>
      <c r="F32" s="58"/>
      <c r="G32" s="58"/>
    </row>
    <row r="33" spans="2:7" ht="15.9" customHeight="1" x14ac:dyDescent="0.3">
      <c r="C33" s="59"/>
      <c r="D33" s="60"/>
      <c r="E33" s="60"/>
      <c r="F33" s="60"/>
    </row>
    <row r="34" spans="2:7" ht="15.9" customHeight="1" x14ac:dyDescent="0.35">
      <c r="C34" s="30"/>
      <c r="D34" s="31"/>
      <c r="E34" s="31"/>
      <c r="F34" s="32"/>
    </row>
    <row r="35" spans="2:7" ht="11.25" customHeight="1" x14ac:dyDescent="0.3"/>
    <row r="36" spans="2:7" x14ac:dyDescent="0.3">
      <c r="B36" s="34"/>
      <c r="C36" s="29"/>
      <c r="D36" s="29"/>
      <c r="E36" s="29"/>
      <c r="F36" s="35"/>
      <c r="G36" s="29"/>
    </row>
  </sheetData>
  <mergeCells count="9">
    <mergeCell ref="C31:G31"/>
    <mergeCell ref="C32:G32"/>
    <mergeCell ref="C33:F33"/>
    <mergeCell ref="C1:D1"/>
    <mergeCell ref="E1:G1"/>
    <mergeCell ref="C4:E6"/>
    <mergeCell ref="D8:E8"/>
    <mergeCell ref="C12:E13"/>
    <mergeCell ref="C16:D16"/>
  </mergeCells>
  <phoneticPr fontId="1" type="noConversion"/>
  <printOptions horizontalCentered="1" verticalCentered="1"/>
  <pageMargins left="0.75" right="0.75" top="0.5" bottom="0.5" header="0.5" footer="0.5"/>
  <pageSetup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B40C-5DDF-446B-ADDF-37D30CF391C0}">
  <sheetPr>
    <pageSetUpPr fitToPage="1"/>
  </sheetPr>
  <dimension ref="A1:J63"/>
  <sheetViews>
    <sheetView tabSelected="1" zoomScale="85" zoomScaleNormal="85" workbookViewId="0">
      <selection activeCell="H30" sqref="H30"/>
    </sheetView>
  </sheetViews>
  <sheetFormatPr defaultRowHeight="15" customHeight="1" x14ac:dyDescent="0.4"/>
  <cols>
    <col min="1" max="1" width="14.90625" style="50" bestFit="1" customWidth="1"/>
    <col min="2" max="2" width="24.453125" style="50" bestFit="1" customWidth="1"/>
    <col min="3" max="3" width="25.81640625" style="48" bestFit="1" customWidth="1"/>
    <col min="4" max="4" width="15.1796875" style="50" bestFit="1" customWidth="1"/>
    <col min="5" max="5" width="21.1796875" style="50" bestFit="1" customWidth="1"/>
    <col min="6" max="6" width="13.453125" style="50" bestFit="1" customWidth="1"/>
    <col min="7" max="7" width="19.36328125" style="50" bestFit="1" customWidth="1"/>
    <col min="8" max="8" width="20.1796875" style="50" bestFit="1" customWidth="1"/>
    <col min="9" max="9" width="13.36328125" style="50" bestFit="1" customWidth="1"/>
    <col min="10" max="10" width="23.54296875" style="50" bestFit="1" customWidth="1"/>
  </cols>
  <sheetData>
    <row r="1" spans="1:10" ht="17" x14ac:dyDescent="0.4">
      <c r="A1" s="50" t="s">
        <v>22</v>
      </c>
      <c r="B1" s="50" t="s">
        <v>21</v>
      </c>
      <c r="C1" s="48" t="s">
        <v>20</v>
      </c>
      <c r="D1" s="50" t="s">
        <v>19</v>
      </c>
      <c r="E1" s="50" t="s">
        <v>18</v>
      </c>
      <c r="F1" s="50" t="s">
        <v>14</v>
      </c>
      <c r="G1" s="50" t="s">
        <v>15</v>
      </c>
      <c r="H1" s="50" t="s">
        <v>17</v>
      </c>
      <c r="I1" s="50" t="s">
        <v>16</v>
      </c>
      <c r="J1" s="50" t="s">
        <v>23</v>
      </c>
    </row>
    <row r="2" spans="1:10" ht="15" customHeight="1" x14ac:dyDescent="0.4">
      <c r="A2" s="53" t="s">
        <v>48</v>
      </c>
      <c r="B2" s="50" t="s">
        <v>31</v>
      </c>
      <c r="C2" s="49" t="s">
        <v>12</v>
      </c>
      <c r="D2" s="50" t="s">
        <v>13</v>
      </c>
      <c r="E2" s="50">
        <v>0.05</v>
      </c>
      <c r="F2" s="49">
        <v>30.8</v>
      </c>
      <c r="G2" s="49">
        <v>132</v>
      </c>
      <c r="H2" s="49">
        <v>0</v>
      </c>
      <c r="I2" s="49">
        <v>162.80000000000001</v>
      </c>
      <c r="J2" s="49" t="s">
        <v>29</v>
      </c>
    </row>
    <row r="3" spans="1:10" ht="15" customHeight="1" x14ac:dyDescent="0.4">
      <c r="A3" s="53" t="s">
        <v>48</v>
      </c>
      <c r="B3" s="50" t="s">
        <v>32</v>
      </c>
      <c r="C3" s="49" t="s">
        <v>28</v>
      </c>
      <c r="D3" s="50" t="s">
        <v>13</v>
      </c>
      <c r="E3" s="50">
        <v>5.3999999999999999E-2</v>
      </c>
      <c r="F3" s="49">
        <v>19.440000000000001</v>
      </c>
      <c r="G3" s="49">
        <v>96</v>
      </c>
      <c r="H3" s="49">
        <v>0</v>
      </c>
      <c r="I3" s="49">
        <v>115.44</v>
      </c>
      <c r="J3" s="49" t="s">
        <v>29</v>
      </c>
    </row>
    <row r="4" spans="1:10" ht="15" customHeight="1" x14ac:dyDescent="0.4">
      <c r="A4" s="53" t="s">
        <v>48</v>
      </c>
      <c r="B4" s="50" t="s">
        <v>33</v>
      </c>
      <c r="C4" s="49" t="s">
        <v>12</v>
      </c>
      <c r="D4" s="50" t="s">
        <v>13</v>
      </c>
      <c r="E4" s="50">
        <v>0.22600000000000001</v>
      </c>
      <c r="F4" s="49">
        <v>130.18</v>
      </c>
      <c r="G4" s="49">
        <v>120</v>
      </c>
      <c r="H4" s="49">
        <v>0</v>
      </c>
      <c r="I4" s="49">
        <v>250.18</v>
      </c>
      <c r="J4" s="49" t="s">
        <v>29</v>
      </c>
    </row>
    <row r="5" spans="1:10" ht="15" customHeight="1" x14ac:dyDescent="0.4">
      <c r="A5" s="53" t="s">
        <v>30</v>
      </c>
      <c r="B5" s="50" t="s">
        <v>34</v>
      </c>
      <c r="C5" s="49" t="s">
        <v>12</v>
      </c>
      <c r="D5" s="50" t="s">
        <v>13</v>
      </c>
      <c r="E5" s="50">
        <v>5.3999999999999999E-2</v>
      </c>
      <c r="F5" s="49">
        <v>33.26</v>
      </c>
      <c r="G5" s="49">
        <v>132</v>
      </c>
      <c r="H5" s="49">
        <v>0</v>
      </c>
      <c r="I5" s="49">
        <v>165.26</v>
      </c>
      <c r="J5" s="49" t="s">
        <v>29</v>
      </c>
    </row>
    <row r="6" spans="1:10" ht="15" customHeight="1" x14ac:dyDescent="0.4">
      <c r="A6" s="53" t="s">
        <v>30</v>
      </c>
      <c r="B6" s="50" t="s">
        <v>35</v>
      </c>
      <c r="C6" s="49" t="s">
        <v>12</v>
      </c>
      <c r="D6" s="50" t="s">
        <v>13</v>
      </c>
      <c r="E6" s="50">
        <v>7.8E-2</v>
      </c>
      <c r="F6" s="49">
        <v>48.05</v>
      </c>
      <c r="G6" s="49">
        <v>132</v>
      </c>
      <c r="H6" s="49">
        <v>0</v>
      </c>
      <c r="I6" s="49">
        <v>180.05</v>
      </c>
      <c r="J6" s="49" t="s">
        <v>29</v>
      </c>
    </row>
    <row r="7" spans="1:10" ht="15" customHeight="1" x14ac:dyDescent="0.4">
      <c r="A7" s="53" t="s">
        <v>30</v>
      </c>
      <c r="B7" s="50" t="s">
        <v>36</v>
      </c>
      <c r="C7" s="49" t="s">
        <v>12</v>
      </c>
      <c r="D7" s="50" t="s">
        <v>13</v>
      </c>
      <c r="E7" s="50">
        <v>7.8E-2</v>
      </c>
      <c r="F7" s="49">
        <v>48.05</v>
      </c>
      <c r="G7" s="49">
        <v>132</v>
      </c>
      <c r="H7" s="49">
        <v>0</v>
      </c>
      <c r="I7" s="49">
        <v>180.05</v>
      </c>
      <c r="J7" s="49" t="s">
        <v>29</v>
      </c>
    </row>
    <row r="8" spans="1:10" ht="15" customHeight="1" x14ac:dyDescent="0.4">
      <c r="A8" s="53" t="s">
        <v>30</v>
      </c>
      <c r="B8" s="50" t="s">
        <v>37</v>
      </c>
      <c r="C8" s="49" t="s">
        <v>12</v>
      </c>
      <c r="D8" s="50" t="s">
        <v>13</v>
      </c>
      <c r="E8" s="50">
        <v>0.63800000000000001</v>
      </c>
      <c r="F8" s="49">
        <v>364.94</v>
      </c>
      <c r="G8" s="49">
        <v>120</v>
      </c>
      <c r="H8" s="49">
        <v>176</v>
      </c>
      <c r="I8" s="49">
        <v>660.94</v>
      </c>
      <c r="J8" s="49" t="s">
        <v>29</v>
      </c>
    </row>
    <row r="9" spans="1:10" ht="15" customHeight="1" x14ac:dyDescent="0.4">
      <c r="A9" s="53"/>
      <c r="C9" s="49"/>
      <c r="F9" s="49"/>
      <c r="G9" s="49"/>
      <c r="H9" s="49"/>
      <c r="I9" s="49"/>
      <c r="J9" s="49"/>
    </row>
    <row r="10" spans="1:10" ht="15" customHeight="1" x14ac:dyDescent="0.4">
      <c r="A10" s="53"/>
      <c r="C10" s="49"/>
      <c r="F10" s="49"/>
      <c r="G10" s="49"/>
      <c r="H10" s="49"/>
      <c r="I10" s="49"/>
      <c r="J10" s="49"/>
    </row>
    <row r="11" spans="1:10" ht="15" customHeight="1" x14ac:dyDescent="0.4">
      <c r="A11" s="53"/>
      <c r="C11" s="49"/>
      <c r="F11" s="49"/>
      <c r="G11" s="49"/>
      <c r="H11" s="49"/>
      <c r="I11" s="49"/>
      <c r="J11" s="49"/>
    </row>
    <row r="12" spans="1:10" ht="15" customHeight="1" x14ac:dyDescent="0.4">
      <c r="A12" s="53"/>
      <c r="C12" s="49"/>
      <c r="F12" s="49"/>
      <c r="G12" s="49"/>
      <c r="H12" s="49"/>
      <c r="I12" s="49"/>
      <c r="J12" s="49"/>
    </row>
    <row r="13" spans="1:10" ht="15" customHeight="1" x14ac:dyDescent="0.4">
      <c r="A13" s="53"/>
      <c r="C13" s="49"/>
      <c r="F13" s="49"/>
      <c r="G13" s="49"/>
      <c r="H13" s="49"/>
      <c r="I13" s="49"/>
      <c r="J13" s="49"/>
    </row>
    <row r="14" spans="1:10" ht="15" customHeight="1" x14ac:dyDescent="0.4">
      <c r="A14" s="53"/>
      <c r="C14" s="49"/>
      <c r="F14" s="49"/>
      <c r="G14" s="49"/>
      <c r="H14" s="49"/>
      <c r="I14" s="49"/>
      <c r="J14" s="49"/>
    </row>
    <row r="15" spans="1:10" ht="15" customHeight="1" x14ac:dyDescent="0.4">
      <c r="A15" s="53"/>
      <c r="C15" s="49"/>
      <c r="F15" s="49"/>
      <c r="G15" s="49"/>
      <c r="H15" s="49"/>
      <c r="I15" s="49"/>
      <c r="J15" s="49"/>
    </row>
    <row r="16" spans="1:10" ht="15" customHeight="1" x14ac:dyDescent="0.4">
      <c r="A16" s="53"/>
      <c r="C16" s="49"/>
      <c r="F16" s="49"/>
      <c r="G16" s="49"/>
      <c r="H16" s="49"/>
      <c r="I16" s="49"/>
      <c r="J16" s="49"/>
    </row>
    <row r="17" spans="1:10" ht="15" customHeight="1" x14ac:dyDescent="0.4">
      <c r="A17" s="53"/>
      <c r="C17" s="49"/>
      <c r="F17" s="49"/>
      <c r="G17" s="49"/>
      <c r="H17" s="49"/>
      <c r="I17" s="49"/>
      <c r="J17" s="49"/>
    </row>
    <row r="18" spans="1:10" ht="15" customHeight="1" x14ac:dyDescent="0.4">
      <c r="A18" s="53"/>
      <c r="C18" s="49"/>
      <c r="F18" s="49"/>
      <c r="G18" s="49"/>
      <c r="H18" s="49"/>
      <c r="I18" s="49"/>
      <c r="J18" s="49"/>
    </row>
    <row r="19" spans="1:10" ht="15" customHeight="1" x14ac:dyDescent="0.4">
      <c r="A19" s="53"/>
      <c r="C19" s="49"/>
      <c r="F19" s="49"/>
      <c r="G19" s="49"/>
      <c r="H19" s="49"/>
      <c r="I19" s="49"/>
      <c r="J19" s="49"/>
    </row>
    <row r="20" spans="1:10" ht="15" customHeight="1" x14ac:dyDescent="0.4">
      <c r="A20" s="53"/>
      <c r="C20" s="49"/>
      <c r="F20" s="49"/>
      <c r="G20" s="49"/>
      <c r="H20" s="49"/>
      <c r="I20" s="49"/>
      <c r="J20" s="49"/>
    </row>
    <row r="21" spans="1:10" ht="15" customHeight="1" x14ac:dyDescent="0.4">
      <c r="A21" s="53"/>
      <c r="C21" s="49"/>
      <c r="F21" s="49"/>
      <c r="G21" s="49"/>
      <c r="H21" s="49"/>
      <c r="I21" s="49"/>
      <c r="J21" s="49"/>
    </row>
    <row r="22" spans="1:10" ht="15" customHeight="1" x14ac:dyDescent="0.4">
      <c r="A22" s="53"/>
      <c r="C22" s="49"/>
      <c r="F22" s="49"/>
      <c r="G22" s="49"/>
      <c r="H22" s="49"/>
      <c r="I22" s="49"/>
      <c r="J22" s="49"/>
    </row>
    <row r="23" spans="1:10" ht="15" customHeight="1" x14ac:dyDescent="0.4">
      <c r="A23" s="53"/>
      <c r="C23" s="49"/>
      <c r="F23" s="49"/>
      <c r="G23" s="49"/>
      <c r="H23" s="49"/>
      <c r="I23" s="49"/>
      <c r="J23" s="49"/>
    </row>
    <row r="24" spans="1:10" ht="15" customHeight="1" x14ac:dyDescent="0.4">
      <c r="A24" s="53"/>
      <c r="C24" s="49"/>
      <c r="F24" s="49"/>
      <c r="G24" s="49"/>
      <c r="H24" s="49"/>
      <c r="I24" s="49"/>
      <c r="J24" s="49"/>
    </row>
    <row r="25" spans="1:10" ht="15" customHeight="1" x14ac:dyDescent="0.4">
      <c r="A25" s="53"/>
      <c r="C25" s="49"/>
      <c r="F25" s="49"/>
      <c r="G25" s="49"/>
      <c r="H25" s="49"/>
      <c r="I25" s="49"/>
      <c r="J25" s="49"/>
    </row>
    <row r="26" spans="1:10" ht="15" customHeight="1" x14ac:dyDescent="0.4">
      <c r="A26" s="53"/>
      <c r="C26" s="49"/>
      <c r="F26" s="49"/>
      <c r="G26" s="49"/>
      <c r="H26" s="49"/>
      <c r="I26" s="49"/>
      <c r="J26" s="49"/>
    </row>
    <row r="27" spans="1:10" ht="15" customHeight="1" x14ac:dyDescent="0.4">
      <c r="A27" s="53"/>
      <c r="C27" s="49"/>
      <c r="F27" s="49"/>
      <c r="G27" s="49"/>
      <c r="H27" s="49"/>
      <c r="I27" s="49"/>
      <c r="J27" s="49"/>
    </row>
    <row r="28" spans="1:10" ht="15" customHeight="1" x14ac:dyDescent="0.4">
      <c r="A28" s="53"/>
      <c r="C28" s="49"/>
      <c r="F28" s="49"/>
      <c r="G28" s="49"/>
      <c r="H28" s="49"/>
      <c r="I28" s="49"/>
      <c r="J28" s="49"/>
    </row>
    <row r="29" spans="1:10" ht="15" customHeight="1" x14ac:dyDescent="0.4">
      <c r="A29" s="53"/>
      <c r="C29" s="49"/>
      <c r="F29" s="49"/>
      <c r="G29" s="49"/>
      <c r="H29" s="49"/>
      <c r="I29" s="49"/>
      <c r="J29" s="49"/>
    </row>
    <row r="30" spans="1:10" ht="15" customHeight="1" x14ac:dyDescent="0.4">
      <c r="A30" s="53"/>
      <c r="C30" s="49"/>
      <c r="F30" s="49"/>
      <c r="G30" s="49"/>
      <c r="H30" s="49"/>
      <c r="I30" s="49"/>
      <c r="J30" s="49"/>
    </row>
    <row r="31" spans="1:10" ht="15" customHeight="1" x14ac:dyDescent="0.4">
      <c r="A31" s="53"/>
      <c r="C31" s="49"/>
      <c r="F31" s="49"/>
      <c r="G31" s="49"/>
      <c r="H31" s="49"/>
      <c r="I31" s="49"/>
      <c r="J31" s="49"/>
    </row>
    <row r="32" spans="1:10" ht="15" customHeight="1" x14ac:dyDescent="0.4">
      <c r="A32" s="53"/>
      <c r="C32" s="49"/>
      <c r="F32" s="49"/>
      <c r="G32" s="49"/>
      <c r="H32" s="49"/>
      <c r="I32" s="49"/>
      <c r="J32" s="49"/>
    </row>
    <row r="33" spans="1:10" ht="15" customHeight="1" x14ac:dyDescent="0.4">
      <c r="A33" s="53"/>
      <c r="C33" s="49"/>
      <c r="F33" s="49"/>
      <c r="G33" s="49"/>
      <c r="H33" s="49"/>
      <c r="I33" s="49"/>
      <c r="J33" s="49"/>
    </row>
    <row r="34" spans="1:10" ht="15" customHeight="1" x14ac:dyDescent="0.4">
      <c r="A34" s="53"/>
      <c r="C34" s="49"/>
      <c r="F34" s="49"/>
      <c r="G34" s="49"/>
      <c r="H34" s="49"/>
      <c r="I34" s="49"/>
      <c r="J34" s="49"/>
    </row>
    <row r="35" spans="1:10" ht="15" customHeight="1" x14ac:dyDescent="0.4">
      <c r="A35" s="53"/>
      <c r="C35" s="49"/>
      <c r="F35" s="49"/>
      <c r="G35" s="49"/>
      <c r="H35" s="49"/>
      <c r="I35" s="49"/>
      <c r="J35" s="49"/>
    </row>
    <row r="36" spans="1:10" ht="15" customHeight="1" x14ac:dyDescent="0.4">
      <c r="A36" s="53"/>
      <c r="C36" s="49"/>
      <c r="F36" s="49"/>
      <c r="G36" s="49"/>
      <c r="H36" s="49"/>
      <c r="I36" s="49"/>
      <c r="J36" s="49"/>
    </row>
    <row r="37" spans="1:10" ht="15" customHeight="1" x14ac:dyDescent="0.4">
      <c r="A37" s="53"/>
      <c r="C37" s="49"/>
      <c r="F37" s="49"/>
      <c r="G37" s="49"/>
      <c r="H37" s="49"/>
      <c r="I37" s="49"/>
      <c r="J37" s="49"/>
    </row>
    <row r="38" spans="1:10" ht="15" customHeight="1" x14ac:dyDescent="0.4">
      <c r="A38" s="53"/>
      <c r="C38" s="49"/>
      <c r="F38" s="49"/>
      <c r="G38" s="49"/>
      <c r="H38" s="49"/>
      <c r="I38" s="49"/>
      <c r="J38" s="49"/>
    </row>
    <row r="39" spans="1:10" ht="15" customHeight="1" x14ac:dyDescent="0.4">
      <c r="A39" s="53"/>
      <c r="C39" s="49"/>
      <c r="F39" s="49"/>
      <c r="G39" s="49"/>
      <c r="H39" s="49"/>
      <c r="I39" s="49"/>
      <c r="J39" s="49"/>
    </row>
    <row r="40" spans="1:10" ht="15" customHeight="1" x14ac:dyDescent="0.4">
      <c r="A40" s="53"/>
      <c r="C40" s="49"/>
      <c r="F40" s="49"/>
      <c r="G40" s="49"/>
      <c r="H40" s="49"/>
      <c r="I40" s="49"/>
      <c r="J40" s="49"/>
    </row>
    <row r="41" spans="1:10" ht="15" customHeight="1" x14ac:dyDescent="0.4">
      <c r="A41" s="53"/>
      <c r="C41" s="49"/>
      <c r="F41" s="49"/>
      <c r="G41" s="49"/>
      <c r="H41" s="49"/>
      <c r="I41" s="49"/>
      <c r="J41" s="49"/>
    </row>
    <row r="42" spans="1:10" ht="15" customHeight="1" x14ac:dyDescent="0.4">
      <c r="A42" s="53"/>
      <c r="C42" s="49"/>
      <c r="F42" s="49"/>
      <c r="G42" s="49"/>
      <c r="H42" s="49"/>
      <c r="I42" s="49"/>
      <c r="J42" s="49"/>
    </row>
    <row r="43" spans="1:10" ht="15" customHeight="1" x14ac:dyDescent="0.4">
      <c r="A43" s="53"/>
      <c r="C43" s="49"/>
      <c r="F43" s="49"/>
      <c r="G43" s="49"/>
      <c r="H43" s="49"/>
      <c r="I43" s="49"/>
      <c r="J43" s="49"/>
    </row>
    <row r="44" spans="1:10" ht="15" customHeight="1" x14ac:dyDescent="0.4">
      <c r="A44" s="53"/>
      <c r="C44" s="49"/>
      <c r="F44" s="49"/>
      <c r="G44" s="49"/>
      <c r="H44" s="49"/>
      <c r="I44" s="49"/>
      <c r="J44" s="49"/>
    </row>
    <row r="45" spans="1:10" ht="15" customHeight="1" x14ac:dyDescent="0.4">
      <c r="A45" s="53"/>
      <c r="C45" s="49"/>
      <c r="F45" s="49"/>
      <c r="G45" s="49"/>
      <c r="H45" s="49"/>
      <c r="I45" s="49"/>
      <c r="J45" s="49"/>
    </row>
    <row r="46" spans="1:10" ht="15" customHeight="1" x14ac:dyDescent="0.4">
      <c r="A46" s="53"/>
      <c r="C46" s="49"/>
      <c r="F46" s="49"/>
      <c r="G46" s="49"/>
      <c r="H46" s="49"/>
      <c r="I46" s="49"/>
      <c r="J46" s="49"/>
    </row>
    <row r="47" spans="1:10" ht="15" customHeight="1" x14ac:dyDescent="0.4">
      <c r="A47" s="53"/>
      <c r="C47" s="49"/>
      <c r="F47" s="49"/>
      <c r="G47" s="49"/>
      <c r="H47" s="49"/>
      <c r="I47" s="49"/>
      <c r="J47" s="49"/>
    </row>
    <row r="48" spans="1:10" ht="15" customHeight="1" x14ac:dyDescent="0.4">
      <c r="A48" s="53"/>
      <c r="C48" s="49"/>
      <c r="F48" s="49"/>
      <c r="G48" s="49"/>
      <c r="H48" s="49"/>
      <c r="I48" s="49"/>
      <c r="J48" s="49"/>
    </row>
    <row r="49" spans="1:10" ht="15" customHeight="1" x14ac:dyDescent="0.4">
      <c r="A49" s="53"/>
      <c r="C49" s="49"/>
      <c r="F49" s="49"/>
      <c r="G49" s="49"/>
      <c r="H49" s="49"/>
      <c r="I49" s="49"/>
      <c r="J49" s="49"/>
    </row>
    <row r="50" spans="1:10" ht="15" customHeight="1" x14ac:dyDescent="0.4">
      <c r="A50" s="53"/>
      <c r="C50" s="49"/>
      <c r="F50" s="49"/>
      <c r="G50" s="49"/>
      <c r="H50" s="49"/>
      <c r="I50" s="49"/>
      <c r="J50" s="49"/>
    </row>
    <row r="51" spans="1:10" ht="15" customHeight="1" x14ac:dyDescent="0.4">
      <c r="A51" s="53"/>
      <c r="C51" s="49"/>
      <c r="F51" s="49"/>
      <c r="G51" s="49"/>
      <c r="H51" s="49"/>
      <c r="I51" s="49"/>
      <c r="J51" s="49"/>
    </row>
    <row r="52" spans="1:10" ht="15" customHeight="1" x14ac:dyDescent="0.4">
      <c r="A52" s="53"/>
      <c r="C52" s="49"/>
      <c r="F52" s="49"/>
      <c r="G52" s="49"/>
      <c r="H52" s="49"/>
      <c r="I52" s="49"/>
      <c r="J52" s="49"/>
    </row>
    <row r="53" spans="1:10" ht="15" customHeight="1" x14ac:dyDescent="0.4">
      <c r="A53" s="53"/>
      <c r="C53" s="49"/>
      <c r="F53" s="49"/>
      <c r="G53" s="49"/>
      <c r="H53" s="49"/>
      <c r="I53" s="49"/>
      <c r="J53" s="49"/>
    </row>
    <row r="54" spans="1:10" ht="15" customHeight="1" x14ac:dyDescent="0.4">
      <c r="A54" s="53"/>
      <c r="C54" s="49"/>
      <c r="F54" s="49"/>
      <c r="G54" s="49"/>
      <c r="H54" s="49"/>
      <c r="I54" s="49"/>
      <c r="J54" s="49"/>
    </row>
    <row r="55" spans="1:10" ht="15" customHeight="1" x14ac:dyDescent="0.4">
      <c r="A55" s="53"/>
      <c r="C55" s="49"/>
      <c r="F55" s="49"/>
      <c r="G55" s="49"/>
      <c r="H55" s="49"/>
      <c r="I55" s="49"/>
      <c r="J55" s="49"/>
    </row>
    <row r="56" spans="1:10" ht="15" customHeight="1" x14ac:dyDescent="0.4">
      <c r="A56" s="53"/>
      <c r="C56" s="49"/>
      <c r="F56" s="49"/>
      <c r="G56" s="49"/>
      <c r="H56" s="49"/>
      <c r="I56" s="49"/>
      <c r="J56" s="49"/>
    </row>
    <row r="57" spans="1:10" ht="15" customHeight="1" x14ac:dyDescent="0.4">
      <c r="A57" s="53"/>
      <c r="C57" s="49"/>
      <c r="F57" s="49"/>
      <c r="G57" s="49"/>
      <c r="H57" s="49"/>
      <c r="I57" s="49"/>
      <c r="J57" s="49"/>
    </row>
    <row r="58" spans="1:10" ht="15" customHeight="1" x14ac:dyDescent="0.4">
      <c r="A58" s="53"/>
    </row>
    <row r="59" spans="1:10" ht="15" customHeight="1" x14ac:dyDescent="0.4">
      <c r="A59" s="53"/>
    </row>
    <row r="60" spans="1:10" ht="15" customHeight="1" x14ac:dyDescent="0.4">
      <c r="A60" s="53"/>
    </row>
    <row r="61" spans="1:10" ht="15" customHeight="1" x14ac:dyDescent="0.4">
      <c r="A61" s="53"/>
    </row>
    <row r="62" spans="1:10" ht="15" customHeight="1" x14ac:dyDescent="0.4">
      <c r="A62" s="53"/>
    </row>
    <row r="63" spans="1:10" ht="15" customHeight="1" x14ac:dyDescent="0.4">
      <c r="A63" s="53"/>
    </row>
  </sheetData>
  <autoFilter ref="A1:J57" xr:uid="{A1C1B40C-5DDF-446B-ADDF-37D30CF391C0}"/>
  <phoneticPr fontId="1" type="noConversion"/>
  <pageMargins left="0.7" right="0.7" top="0.75" bottom="0.75" header="0.3" footer="0.3"/>
  <pageSetup paperSize="9" scale="45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353D811-789B-4031-9E46-5CC9130AEA2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Service Invoice-Charges</vt:lpstr>
      <vt:lpstr>Transaction Record</vt:lpstr>
      <vt:lpstr>'Service Invoice-Charges'!Print_Area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SYM SHOP Amazon.de</dc:creator>
  <cp:keywords/>
  <dc:description/>
  <cp:lastModifiedBy>Marco Law</cp:lastModifiedBy>
  <cp:revision/>
  <cp:lastPrinted>2026-03-09T07:13:53Z</cp:lastPrinted>
  <dcterms:created xsi:type="dcterms:W3CDTF">2024-04-10T03:28:42Z</dcterms:created>
  <dcterms:modified xsi:type="dcterms:W3CDTF">2026-03-16T05:09:18Z</dcterms:modified>
  <cp:category/>
  <cp:contentStatus/>
</cp:coreProperties>
</file>